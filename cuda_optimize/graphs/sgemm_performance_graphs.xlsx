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or\source\repos\texashodlr\coding-and-curling\cuda_optimize\graphs\"/>
    </mc:Choice>
  </mc:AlternateContent>
  <xr:revisionPtr revIDLastSave="0" documentId="13_ncr:1_{669501E4-ED05-40BA-8BF6-27F3A81DDB6A}" xr6:coauthVersionLast="47" xr6:coauthVersionMax="47" xr10:uidLastSave="{00000000-0000-0000-0000-000000000000}"/>
  <bookViews>
    <workbookView xWindow="384" yWindow="384" windowWidth="17280" windowHeight="8880" firstSheet="2" activeTab="2" xr2:uid="{603C1C53-CEB8-463D-A515-B200F43602F4}"/>
  </bookViews>
  <sheets>
    <sheet name="kernel_1_naive" sheetId="1" r:id="rId1"/>
    <sheet name="kernel_2_gmem_coal" sheetId="2" r:id="rId2"/>
    <sheet name="kernel_4_gmem_1D" sheetId="4" r:id="rId3"/>
    <sheet name="kernel_3_shmem_cach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8" i="3"/>
  <c r="B9" i="3" s="1"/>
  <c r="B10" i="3" s="1"/>
  <c r="B7" i="3"/>
  <c r="B7" i="2"/>
  <c r="B8" i="2" s="1"/>
  <c r="B9" i="2" s="1"/>
  <c r="B10" i="2" s="1"/>
  <c r="B8" i="1"/>
  <c r="B9" i="1"/>
  <c r="B10" i="1" s="1"/>
  <c r="B11" i="1" s="1"/>
  <c r="B7" i="1"/>
</calcChain>
</file>

<file path=xl/sharedStrings.xml><?xml version="1.0" encoding="utf-8"?>
<sst xmlns="http://schemas.openxmlformats.org/spreadsheetml/2006/main" count="12" uniqueCount="3">
  <si>
    <t>Dimensions (M=N=K)</t>
  </si>
  <si>
    <t>Avg. Elapsed Time (s)</t>
  </si>
  <si>
    <t>Performance (GFLOPS)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</si>
</sst>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kernel_1_naive!$D$4</c:f>
              <c:strCache>
                <c:ptCount val="1"/>
                <c:pt idx="0">
                  <c:v>Performance (GFLOPS)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kernel_1_naive!$B$5:$B$11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xVal>
          <c:yVal>
            <c:numRef>
              <c:f>kernel_1_naive!$D$5:$D$11</c:f>
              <c:numCache>
                <c:formatCode>General</c:formatCode>
                <c:ptCount val="7"/>
                <c:pt idx="0">
                  <c:v>56.8</c:v>
                </c:pt>
                <c:pt idx="1">
                  <c:v>122.4</c:v>
                </c:pt>
                <c:pt idx="2">
                  <c:v>124.2</c:v>
                </c:pt>
                <c:pt idx="3">
                  <c:v>156.1</c:v>
                </c:pt>
                <c:pt idx="4">
                  <c:v>162.4</c:v>
                </c:pt>
                <c:pt idx="5">
                  <c:v>156.4</c:v>
                </c:pt>
                <c:pt idx="6">
                  <c:v>161.6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0A-481B-924A-FA99B4A87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41056"/>
        <c:axId val="765437696"/>
      </c:scatterChart>
      <c:valAx>
        <c:axId val="76544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37696"/>
        <c:crosses val="autoZero"/>
        <c:crossBetween val="midCat"/>
      </c:valAx>
      <c:valAx>
        <c:axId val="7654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4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kernel_1_naive!$C$4</c:f>
              <c:strCache>
                <c:ptCount val="1"/>
                <c:pt idx="0">
                  <c:v>Avg. Elapsed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kernel_1_naive!$B$5:$B$11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  <c:pt idx="6">
                  <c:v>8192</c:v>
                </c:pt>
              </c:numCache>
            </c:numRef>
          </c:xVal>
          <c:yVal>
            <c:numRef>
              <c:f>kernel_1_naive!$C$5:$C$11</c:f>
              <c:numCache>
                <c:formatCode>General</c:formatCode>
                <c:ptCount val="7"/>
                <c:pt idx="0">
                  <c:v>7.3999999999999996E-5</c:v>
                </c:pt>
                <c:pt idx="1">
                  <c:v>2.7399999999999999E-4</c:v>
                </c:pt>
                <c:pt idx="2">
                  <c:v>2.1619999999999999E-3</c:v>
                </c:pt>
                <c:pt idx="3">
                  <c:v>1.3755E-2</c:v>
                </c:pt>
                <c:pt idx="4">
                  <c:v>0.105847</c:v>
                </c:pt>
                <c:pt idx="5">
                  <c:v>0.87857399999999997</c:v>
                </c:pt>
                <c:pt idx="6">
                  <c:v>6.8052549999999998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5-4B81-90C1-EB4EB35A1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05536"/>
        <c:axId val="765411776"/>
      </c:scatterChart>
      <c:valAx>
        <c:axId val="76540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11776"/>
        <c:crosses val="autoZero"/>
        <c:crossBetween val="midCat"/>
      </c:valAx>
      <c:valAx>
        <c:axId val="7654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0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kernel_2_gmem_coal!$D$4</c:f>
              <c:strCache>
                <c:ptCount val="1"/>
                <c:pt idx="0">
                  <c:v>Performance (GFLOPS)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kernel_2_gmem_coal!$B$5:$B$11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</c:numCache>
            </c:numRef>
          </c:xVal>
          <c:yVal>
            <c:numRef>
              <c:f>kernel_2_gmem_coal!$D$5:$D$11</c:f>
              <c:numCache>
                <c:formatCode>General</c:formatCode>
                <c:ptCount val="7"/>
                <c:pt idx="0">
                  <c:v>259.5</c:v>
                </c:pt>
                <c:pt idx="1">
                  <c:v>902.2</c:v>
                </c:pt>
                <c:pt idx="2">
                  <c:v>855.9</c:v>
                </c:pt>
                <c:pt idx="3">
                  <c:v>978.6</c:v>
                </c:pt>
                <c:pt idx="4">
                  <c:v>1166.5999999999999</c:v>
                </c:pt>
                <c:pt idx="5">
                  <c:v>1062.9000000000001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3-4DCC-B107-D2400562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41056"/>
        <c:axId val="765437696"/>
      </c:scatterChart>
      <c:valAx>
        <c:axId val="76544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37696"/>
        <c:crosses val="autoZero"/>
        <c:crossBetween val="midCat"/>
      </c:valAx>
      <c:valAx>
        <c:axId val="7654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4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kernel_2_gmem_coal!$C$4</c:f>
              <c:strCache>
                <c:ptCount val="1"/>
                <c:pt idx="0">
                  <c:v>Avg. Elapsed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kernel_2_gmem_coal!$B$5:$B$11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</c:numCache>
            </c:numRef>
          </c:xVal>
          <c:yVal>
            <c:numRef>
              <c:f>kernel_2_gmem_coal!$C$5:$C$11</c:f>
              <c:numCache>
                <c:formatCode>General</c:formatCode>
                <c:ptCount val="7"/>
                <c:pt idx="0">
                  <c:v>1.5999999999999999E-5</c:v>
                </c:pt>
                <c:pt idx="1">
                  <c:v>3.6999999999999998E-5</c:v>
                </c:pt>
                <c:pt idx="2">
                  <c:v>3.1399999999999999E-4</c:v>
                </c:pt>
                <c:pt idx="3">
                  <c:v>2.1940000000000002E-3</c:v>
                </c:pt>
                <c:pt idx="4">
                  <c:v>1.4726E-2</c:v>
                </c:pt>
                <c:pt idx="5">
                  <c:v>0.129303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1-48BD-9AD5-8586FDBC7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05536"/>
        <c:axId val="765411776"/>
      </c:scatterChart>
      <c:valAx>
        <c:axId val="76540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11776"/>
        <c:crosses val="autoZero"/>
        <c:crossBetween val="midCat"/>
      </c:valAx>
      <c:valAx>
        <c:axId val="7654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0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kernel_4_gmem_1D!$D$4</c:f>
              <c:strCache>
                <c:ptCount val="1"/>
                <c:pt idx="0">
                  <c:v>Performance (GFLOPS)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kernel_4_gmem_1D!$B$5:$B$11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</c:numCache>
            </c:numRef>
          </c:xVal>
          <c:yVal>
            <c:numRef>
              <c:f>kernel_4_gmem_1D!$D$5:$D$11</c:f>
              <c:numCache>
                <c:formatCode>General</c:formatCode>
                <c:ptCount val="7"/>
                <c:pt idx="0">
                  <c:v>245.2</c:v>
                </c:pt>
                <c:pt idx="1">
                  <c:v>1299.2</c:v>
                </c:pt>
                <c:pt idx="2">
                  <c:v>3574.3</c:v>
                </c:pt>
                <c:pt idx="3">
                  <c:v>4017.2</c:v>
                </c:pt>
                <c:pt idx="4">
                  <c:v>4592.2</c:v>
                </c:pt>
                <c:pt idx="5">
                  <c:v>4469.2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30-4F85-BD1A-F9D99BE7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41056"/>
        <c:axId val="765437696"/>
      </c:scatterChart>
      <c:valAx>
        <c:axId val="76544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37696"/>
        <c:crosses val="autoZero"/>
        <c:crossBetween val="midCat"/>
      </c:valAx>
      <c:valAx>
        <c:axId val="7654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4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kernel_4_gmem_1D!$C$4</c:f>
              <c:strCache>
                <c:ptCount val="1"/>
                <c:pt idx="0">
                  <c:v>Avg. Elapsed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kernel_4_gmem_1D!$B$5:$B$11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</c:numCache>
            </c:numRef>
          </c:xVal>
          <c:yVal>
            <c:numRef>
              <c:f>kernel_4_gmem_1D!$C$5:$C$11</c:f>
              <c:numCache>
                <c:formatCode>General</c:formatCode>
                <c:ptCount val="7"/>
                <c:pt idx="0">
                  <c:v>1.7E-5</c:v>
                </c:pt>
                <c:pt idx="1">
                  <c:v>2.5999999999999998E-5</c:v>
                </c:pt>
                <c:pt idx="2">
                  <c:v>7.4999999999999993E-5</c:v>
                </c:pt>
                <c:pt idx="3">
                  <c:v>5.3499999999999999E-4</c:v>
                </c:pt>
                <c:pt idx="4">
                  <c:v>3.741E-3</c:v>
                </c:pt>
                <c:pt idx="5">
                  <c:v>3.0752000000000002E-2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1-465D-86C7-6E993881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05536"/>
        <c:axId val="765411776"/>
      </c:scatterChart>
      <c:valAx>
        <c:axId val="76540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11776"/>
        <c:crosses val="autoZero"/>
        <c:crossBetween val="midCat"/>
      </c:valAx>
      <c:valAx>
        <c:axId val="7654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0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kernel_3_shmem_cache!$D$4</c:f>
              <c:strCache>
                <c:ptCount val="1"/>
                <c:pt idx="0">
                  <c:v>Performance (GFLOPS)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kernel_3_shmem_cache!$B$5:$B$11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</c:numCache>
            </c:numRef>
          </c:xVal>
          <c:yVal>
            <c:numRef>
              <c:f>kernel_3_shmem_cache!$D$5:$D$11</c:f>
              <c:numCache>
                <c:formatCode>General</c:formatCode>
                <c:ptCount val="7"/>
                <c:pt idx="0">
                  <c:v>254.7</c:v>
                </c:pt>
                <c:pt idx="1">
                  <c:v>1084.4000000000001</c:v>
                </c:pt>
                <c:pt idx="2">
                  <c:v>1276.5999999999999</c:v>
                </c:pt>
                <c:pt idx="3">
                  <c:v>1435.9</c:v>
                </c:pt>
                <c:pt idx="4">
                  <c:v>1776.1</c:v>
                </c:pt>
                <c:pt idx="5">
                  <c:v>1632.5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ED-45E0-9B79-E0C9E83C5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41056"/>
        <c:axId val="765437696"/>
      </c:scatterChart>
      <c:valAx>
        <c:axId val="76544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37696"/>
        <c:crosses val="autoZero"/>
        <c:crossBetween val="midCat"/>
      </c:valAx>
      <c:valAx>
        <c:axId val="7654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4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kernel_3_shmem_cache!$C$4</c:f>
              <c:strCache>
                <c:ptCount val="1"/>
                <c:pt idx="0">
                  <c:v>Avg. Elapsed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kernel_3_shmem_cache!$B$5:$B$11</c:f>
              <c:numCache>
                <c:formatCode>General</c:formatCod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4096</c:v>
                </c:pt>
              </c:numCache>
            </c:numRef>
          </c:xVal>
          <c:yVal>
            <c:numRef>
              <c:f>kernel_3_shmem_cache!$C$5:$C$11</c:f>
              <c:numCache>
                <c:formatCode>General</c:formatCode>
                <c:ptCount val="7"/>
                <c:pt idx="0">
                  <c:v>1.5999999999999999E-5</c:v>
                </c:pt>
                <c:pt idx="1">
                  <c:v>3.1000000000000001E-5</c:v>
                </c:pt>
                <c:pt idx="2">
                  <c:v>2.1000000000000001E-4</c:v>
                </c:pt>
                <c:pt idx="3">
                  <c:v>1.4959999999999999E-3</c:v>
                </c:pt>
                <c:pt idx="4">
                  <c:v>9.6729999999999993E-3</c:v>
                </c:pt>
                <c:pt idx="5">
                  <c:v>8.4190000000000001E-2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7-4D2E-9796-9A6D12C3F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05536"/>
        <c:axId val="765411776"/>
      </c:scatterChart>
      <c:valAx>
        <c:axId val="76540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11776"/>
        <c:crosses val="autoZero"/>
        <c:crossBetween val="midCat"/>
      </c:valAx>
      <c:valAx>
        <c:axId val="7654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40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28575</xdr:rowOff>
    </xdr:from>
    <xdr:to>
      <xdr:col>12</xdr:col>
      <xdr:colOff>47625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12185-514A-6746-37C1-997CD3C74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15512</xdr:colOff>
      <xdr:row>0</xdr:row>
      <xdr:rowOff>0</xdr:rowOff>
    </xdr:from>
    <xdr:to>
      <xdr:col>19</xdr:col>
      <xdr:colOff>318498</xdr:colOff>
      <xdr:row>14</xdr:row>
      <xdr:rowOff>159839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0E0251-ABCC-9420-82D4-EC368EB5E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28575</xdr:rowOff>
    </xdr:from>
    <xdr:to>
      <xdr:col>12</xdr:col>
      <xdr:colOff>47625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D8558-C602-4A00-ADC4-44583519B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15512</xdr:colOff>
      <xdr:row>0</xdr:row>
      <xdr:rowOff>0</xdr:rowOff>
    </xdr:from>
    <xdr:to>
      <xdr:col>19</xdr:col>
      <xdr:colOff>318498</xdr:colOff>
      <xdr:row>14</xdr:row>
      <xdr:rowOff>159839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414488-5FDF-45D3-AB57-FF186BE50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28575</xdr:rowOff>
    </xdr:from>
    <xdr:to>
      <xdr:col>12</xdr:col>
      <xdr:colOff>47625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91EC9-2505-4C34-9E0E-AEC0209C9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15512</xdr:colOff>
      <xdr:row>0</xdr:row>
      <xdr:rowOff>0</xdr:rowOff>
    </xdr:from>
    <xdr:to>
      <xdr:col>19</xdr:col>
      <xdr:colOff>318498</xdr:colOff>
      <xdr:row>14</xdr:row>
      <xdr:rowOff>159839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0CC636-AF65-4540-A89E-56193B072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28575</xdr:rowOff>
    </xdr:from>
    <xdr:to>
      <xdr:col>12</xdr:col>
      <xdr:colOff>47625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1F9F5-0D2E-4385-B9E4-CCDB6AEBB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15512</xdr:colOff>
      <xdr:row>0</xdr:row>
      <xdr:rowOff>0</xdr:rowOff>
    </xdr:from>
    <xdr:to>
      <xdr:col>19</xdr:col>
      <xdr:colOff>318498</xdr:colOff>
      <xdr:row>14</xdr:row>
      <xdr:rowOff>159839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796AED-3F5F-431C-9C2A-38990CB4D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833E-A56C-4FBA-B73C-28A0956DCE6C}">
  <dimension ref="B4:D11"/>
  <sheetViews>
    <sheetView zoomScale="145" zoomScaleNormal="145" workbookViewId="0">
      <selection activeCell="AF38" sqref="AF38"/>
    </sheetView>
  </sheetViews>
  <sheetFormatPr defaultRowHeight="14.4" x14ac:dyDescent="0.3"/>
  <cols>
    <col min="2" max="2" width="10.5546875" bestFit="1" customWidth="1"/>
  </cols>
  <sheetData>
    <row r="4" spans="2:4" x14ac:dyDescent="0.3">
      <c r="B4" s="1" t="s">
        <v>0</v>
      </c>
      <c r="C4" t="s">
        <v>1</v>
      </c>
      <c r="D4" t="s">
        <v>2</v>
      </c>
    </row>
    <row r="5" spans="2:4" x14ac:dyDescent="0.3">
      <c r="B5">
        <v>128</v>
      </c>
      <c r="C5">
        <v>7.3999999999999996E-5</v>
      </c>
      <c r="D5">
        <v>56.8</v>
      </c>
    </row>
    <row r="6" spans="2:4" x14ac:dyDescent="0.3">
      <c r="B6">
        <v>256</v>
      </c>
      <c r="C6">
        <v>2.7399999999999999E-4</v>
      </c>
      <c r="D6">
        <v>122.4</v>
      </c>
    </row>
    <row r="7" spans="2:4" x14ac:dyDescent="0.3">
      <c r="B7">
        <f>2*B6</f>
        <v>512</v>
      </c>
      <c r="C7">
        <v>2.1619999999999999E-3</v>
      </c>
      <c r="D7">
        <v>124.2</v>
      </c>
    </row>
    <row r="8" spans="2:4" x14ac:dyDescent="0.3">
      <c r="B8">
        <f t="shared" ref="B8:B11" si="0">2*B7</f>
        <v>1024</v>
      </c>
      <c r="C8">
        <v>1.3755E-2</v>
      </c>
      <c r="D8">
        <v>156.1</v>
      </c>
    </row>
    <row r="9" spans="2:4" x14ac:dyDescent="0.3">
      <c r="B9">
        <f t="shared" si="0"/>
        <v>2048</v>
      </c>
      <c r="C9">
        <v>0.105847</v>
      </c>
      <c r="D9">
        <v>162.4</v>
      </c>
    </row>
    <row r="10" spans="2:4" x14ac:dyDescent="0.3">
      <c r="B10">
        <f t="shared" si="0"/>
        <v>4096</v>
      </c>
      <c r="C10">
        <v>0.87857399999999997</v>
      </c>
      <c r="D10">
        <v>156.4</v>
      </c>
    </row>
    <row r="11" spans="2:4" x14ac:dyDescent="0.3">
      <c r="B11">
        <f t="shared" si="0"/>
        <v>8192</v>
      </c>
      <c r="C11">
        <v>6.8052549999999998</v>
      </c>
      <c r="D11">
        <v>161.6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E479-2D0F-499A-AD04-6F9BCB0D32F0}">
  <dimension ref="B4:D10"/>
  <sheetViews>
    <sheetView zoomScale="145" zoomScaleNormal="145" workbookViewId="0">
      <selection activeCell="F22" sqref="F22"/>
    </sheetView>
  </sheetViews>
  <sheetFormatPr defaultRowHeight="14.4" x14ac:dyDescent="0.3"/>
  <cols>
    <col min="2" max="2" width="10.5546875" bestFit="1" customWidth="1"/>
  </cols>
  <sheetData>
    <row r="4" spans="2:4" x14ac:dyDescent="0.3">
      <c r="B4" s="1" t="s">
        <v>0</v>
      </c>
      <c r="C4" t="s">
        <v>1</v>
      </c>
      <c r="D4" t="s">
        <v>2</v>
      </c>
    </row>
    <row r="5" spans="2:4" x14ac:dyDescent="0.3">
      <c r="B5">
        <v>128</v>
      </c>
      <c r="C5">
        <v>1.5999999999999999E-5</v>
      </c>
      <c r="D5">
        <v>259.5</v>
      </c>
    </row>
    <row r="6" spans="2:4" x14ac:dyDescent="0.3">
      <c r="B6">
        <v>256</v>
      </c>
      <c r="C6">
        <v>3.6999999999999998E-5</v>
      </c>
      <c r="D6">
        <v>902.2</v>
      </c>
    </row>
    <row r="7" spans="2:4" x14ac:dyDescent="0.3">
      <c r="B7">
        <f>2*B6</f>
        <v>512</v>
      </c>
      <c r="C7">
        <v>3.1399999999999999E-4</v>
      </c>
      <c r="D7">
        <v>855.9</v>
      </c>
    </row>
    <row r="8" spans="2:4" x14ac:dyDescent="0.3">
      <c r="B8">
        <f t="shared" ref="B8:B10" si="0">2*B7</f>
        <v>1024</v>
      </c>
      <c r="C8">
        <v>2.1940000000000002E-3</v>
      </c>
      <c r="D8">
        <v>978.6</v>
      </c>
    </row>
    <row r="9" spans="2:4" x14ac:dyDescent="0.3">
      <c r="B9">
        <f t="shared" si="0"/>
        <v>2048</v>
      </c>
      <c r="C9">
        <v>1.4726E-2</v>
      </c>
      <c r="D9">
        <v>1166.5999999999999</v>
      </c>
    </row>
    <row r="10" spans="2:4" x14ac:dyDescent="0.3">
      <c r="B10">
        <f t="shared" si="0"/>
        <v>4096</v>
      </c>
      <c r="C10">
        <v>0.129303</v>
      </c>
      <c r="D10">
        <v>1062.9000000000001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EEC9-1F88-4EC6-80C8-2E0EFD879725}">
  <dimension ref="B4:D10"/>
  <sheetViews>
    <sheetView tabSelected="1" topLeftCell="C2" zoomScale="145" zoomScaleNormal="145" workbookViewId="0">
      <selection activeCell="C11" sqref="C11"/>
    </sheetView>
  </sheetViews>
  <sheetFormatPr defaultRowHeight="14.4" x14ac:dyDescent="0.3"/>
  <cols>
    <col min="2" max="2" width="10.5546875" bestFit="1" customWidth="1"/>
  </cols>
  <sheetData>
    <row r="4" spans="2:4" x14ac:dyDescent="0.3">
      <c r="B4" s="1" t="s">
        <v>0</v>
      </c>
      <c r="C4" t="s">
        <v>1</v>
      </c>
      <c r="D4" t="s">
        <v>2</v>
      </c>
    </row>
    <row r="5" spans="2:4" x14ac:dyDescent="0.3">
      <c r="B5">
        <v>128</v>
      </c>
      <c r="C5">
        <v>1.7E-5</v>
      </c>
      <c r="D5">
        <v>245.2</v>
      </c>
    </row>
    <row r="6" spans="2:4" x14ac:dyDescent="0.3">
      <c r="B6">
        <v>256</v>
      </c>
      <c r="C6">
        <v>2.5999999999999998E-5</v>
      </c>
      <c r="D6">
        <v>1299.2</v>
      </c>
    </row>
    <row r="7" spans="2:4" x14ac:dyDescent="0.3">
      <c r="B7">
        <f>2*B6</f>
        <v>512</v>
      </c>
      <c r="C7">
        <v>7.4999999999999993E-5</v>
      </c>
      <c r="D7">
        <v>3574.3</v>
      </c>
    </row>
    <row r="8" spans="2:4" x14ac:dyDescent="0.3">
      <c r="B8">
        <f t="shared" ref="B8:B10" si="0">2*B7</f>
        <v>1024</v>
      </c>
      <c r="C8">
        <v>5.3499999999999999E-4</v>
      </c>
      <c r="D8">
        <v>4017.2</v>
      </c>
    </row>
    <row r="9" spans="2:4" x14ac:dyDescent="0.3">
      <c r="B9">
        <f t="shared" si="0"/>
        <v>2048</v>
      </c>
      <c r="C9">
        <v>3.741E-3</v>
      </c>
      <c r="D9">
        <v>4592.2</v>
      </c>
    </row>
    <row r="10" spans="2:4" x14ac:dyDescent="0.3">
      <c r="B10">
        <f t="shared" si="0"/>
        <v>4096</v>
      </c>
      <c r="C10">
        <v>3.0752000000000002E-2</v>
      </c>
      <c r="D10">
        <v>4469.2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697F-FE79-4179-84C2-7892A8237BF1}">
  <dimension ref="B4:D10"/>
  <sheetViews>
    <sheetView topLeftCell="B1" zoomScale="145" zoomScaleNormal="145" workbookViewId="0">
      <selection activeCell="C8" sqref="C8"/>
    </sheetView>
  </sheetViews>
  <sheetFormatPr defaultRowHeight="14.4" x14ac:dyDescent="0.3"/>
  <cols>
    <col min="2" max="2" width="10.5546875" bestFit="1" customWidth="1"/>
  </cols>
  <sheetData>
    <row r="4" spans="2:4" x14ac:dyDescent="0.3">
      <c r="B4" s="1" t="s">
        <v>0</v>
      </c>
      <c r="C4" t="s">
        <v>1</v>
      </c>
      <c r="D4" t="s">
        <v>2</v>
      </c>
    </row>
    <row r="5" spans="2:4" x14ac:dyDescent="0.3">
      <c r="B5">
        <v>128</v>
      </c>
      <c r="C5">
        <v>1.5999999999999999E-5</v>
      </c>
      <c r="D5">
        <v>254.7</v>
      </c>
    </row>
    <row r="6" spans="2:4" x14ac:dyDescent="0.3">
      <c r="B6">
        <v>256</v>
      </c>
      <c r="C6">
        <v>3.1000000000000001E-5</v>
      </c>
      <c r="D6">
        <v>1084.4000000000001</v>
      </c>
    </row>
    <row r="7" spans="2:4" x14ac:dyDescent="0.3">
      <c r="B7">
        <f>2*B6</f>
        <v>512</v>
      </c>
      <c r="C7">
        <v>2.1000000000000001E-4</v>
      </c>
      <c r="D7">
        <v>1276.5999999999999</v>
      </c>
    </row>
    <row r="8" spans="2:4" x14ac:dyDescent="0.3">
      <c r="B8">
        <f t="shared" ref="B8:B10" si="0">2*B7</f>
        <v>1024</v>
      </c>
      <c r="C8">
        <v>1.4959999999999999E-3</v>
      </c>
      <c r="D8">
        <v>1435.9</v>
      </c>
    </row>
    <row r="9" spans="2:4" x14ac:dyDescent="0.3">
      <c r="B9">
        <f t="shared" si="0"/>
        <v>2048</v>
      </c>
      <c r="C9">
        <v>9.6729999999999993E-3</v>
      </c>
      <c r="D9">
        <v>1776.1</v>
      </c>
    </row>
    <row r="10" spans="2:4" x14ac:dyDescent="0.3">
      <c r="B10">
        <f t="shared" si="0"/>
        <v>4096</v>
      </c>
      <c r="C10">
        <v>8.4190000000000001E-2</v>
      </c>
      <c r="D10">
        <v>1632.5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kernel_1_naive</vt:lpstr>
      <vt:lpstr>kernel_2_gmem_coal</vt:lpstr>
      <vt:lpstr>kernel_4_gmem_1D</vt:lpstr>
      <vt:lpstr>kernel_3_shmem_cache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Xavier Devlin</dc:creator>
  <cp:lastModifiedBy>Conor Xavier Devlin</cp:lastModifiedBy>
  <dcterms:created xsi:type="dcterms:W3CDTF">2025-08-12T02:37:50Z</dcterms:created>
  <dcterms:modified xsi:type="dcterms:W3CDTF">2025-08-15T00:47:31Z</dcterms:modified>
</cp:coreProperties>
</file>